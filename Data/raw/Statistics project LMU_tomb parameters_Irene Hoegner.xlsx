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e/Desktop/Statistics project LMU_WiSe2025,26_Elateia and Amfissa/"/>
    </mc:Choice>
  </mc:AlternateContent>
  <xr:revisionPtr revIDLastSave="0" documentId="13_ncr:1_{404DC0E9-EAAA-3643-A4D5-743E07FF78DF}" xr6:coauthVersionLast="47" xr6:coauthVersionMax="47" xr10:uidLastSave="{00000000-0000-0000-0000-000000000000}"/>
  <bookViews>
    <workbookView xWindow="1740" yWindow="1880" windowWidth="19620" windowHeight="16240" xr2:uid="{402E0CF4-684A-E34D-B8B6-AB7956011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N12" i="1"/>
  <c r="L12" i="1"/>
  <c r="K12" i="1"/>
  <c r="G12" i="1"/>
  <c r="H12" i="1"/>
  <c r="I12" i="1"/>
  <c r="D12" i="1"/>
  <c r="F12" i="1"/>
  <c r="C12" i="1"/>
  <c r="J12" i="1" l="1"/>
  <c r="J4" i="1"/>
  <c r="J5" i="1"/>
  <c r="J6" i="1"/>
  <c r="J7" i="1"/>
  <c r="J8" i="1"/>
  <c r="J9" i="1"/>
  <c r="J10" i="1"/>
  <c r="J11" i="1"/>
  <c r="J3" i="1"/>
  <c r="E10" i="1"/>
  <c r="N10" i="1" s="1"/>
  <c r="E11" i="1"/>
  <c r="N11" i="1" s="1"/>
  <c r="N4" i="1"/>
  <c r="E5" i="1"/>
  <c r="N5" i="1" s="1"/>
  <c r="E6" i="1"/>
  <c r="N6" i="1" s="1"/>
  <c r="E7" i="1"/>
  <c r="N7" i="1" s="1"/>
  <c r="E8" i="1"/>
  <c r="N8" i="1" s="1"/>
  <c r="E9" i="1"/>
  <c r="N9" i="1" s="1"/>
  <c r="E3" i="1"/>
  <c r="N3" i="1" s="1"/>
  <c r="E12" i="1" l="1"/>
</calcChain>
</file>

<file path=xl/sharedStrings.xml><?xml version="1.0" encoding="utf-8"?>
<sst xmlns="http://schemas.openxmlformats.org/spreadsheetml/2006/main" count="43" uniqueCount="36">
  <si>
    <t>Elateia T31</t>
  </si>
  <si>
    <t>Elateia T36</t>
  </si>
  <si>
    <t>Elateia T46</t>
  </si>
  <si>
    <t>Elateia T47</t>
  </si>
  <si>
    <t>Elateia T50</t>
  </si>
  <si>
    <t>Elateia T56</t>
  </si>
  <si>
    <t>Elateia T62</t>
  </si>
  <si>
    <t>Elateia T67</t>
  </si>
  <si>
    <t>teeth</t>
  </si>
  <si>
    <t>petrous bones</t>
  </si>
  <si>
    <t xml:space="preserve"> -</t>
  </si>
  <si>
    <t>original number of samples</t>
  </si>
  <si>
    <t>TWIST capture samples included in kinship analysis</t>
  </si>
  <si>
    <t xml:space="preserve">length of use of tomb </t>
  </si>
  <si>
    <t>MNI (minimum number of individuals)</t>
  </si>
  <si>
    <t>same individual sampled twice</t>
  </si>
  <si>
    <t>max number of individuals</t>
  </si>
  <si>
    <t>Amfissa tholos</t>
  </si>
  <si>
    <t>other</t>
  </si>
  <si>
    <t>control</t>
  </si>
  <si>
    <t>talus/phalanx</t>
  </si>
  <si>
    <t>skeletal element of sample</t>
  </si>
  <si>
    <t>after merging samples from same individual</t>
  </si>
  <si>
    <t>*two individuals with each two duplicate samples which were distributed between T46 and 56 are excluded from these counts</t>
  </si>
  <si>
    <t>estimated number of burials</t>
  </si>
  <si>
    <t>sample numbers</t>
  </si>
  <si>
    <t>about 500 years</t>
  </si>
  <si>
    <t>about 150 years</t>
  </si>
  <si>
    <t>about 600 years</t>
  </si>
  <si>
    <t>about 300 years</t>
  </si>
  <si>
    <t>genetic analyses</t>
  </si>
  <si>
    <t>est. 250/300/350/400</t>
  </si>
  <si>
    <t>percentage of successful samples</t>
  </si>
  <si>
    <t>Elateia 46,56,62 (fictitious)</t>
  </si>
  <si>
    <t>about 450 years</t>
  </si>
  <si>
    <t>*please include in analysis comparison with tombs 46, 56, 62 fictitously counted as one tomb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</si>
</sst>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Aptos Narrow (Body)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 tint="-0.34998626667073579"/>
      <name val="Aptos Narrow"/>
      <scheme val="minor"/>
    </font>
    <font>
      <sz val="12"/>
      <color theme="0" tint="-0.34998626667073579"/>
      <name val="Aptos Narrow"/>
      <scheme val="minor"/>
    </font>
    <font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0" borderId="0" xfId="0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9" fontId="0" fillId="0" borderId="0" xfId="1" applyFont="1"/>
    <xf numFmtId="0" fontId="7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9" fontId="9" fillId="0" borderId="0" xfId="1" applyFont="1" applyFill="1"/>
    <xf numFmtId="0" fontId="8" fillId="2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D2A0-F7E7-B94B-8169-57E3C0478918}">
  <dimension ref="A1:O14"/>
  <sheetViews>
    <sheetView tabSelected="1" zoomScale="8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5" sqref="E5"/>
    </sheetView>
  </sheetViews>
  <sheetFormatPr baseColWidth="10" defaultRowHeight="16" x14ac:dyDescent="0.2"/>
  <cols>
    <col min="1" max="1" width="18" customWidth="1"/>
    <col min="2" max="2" width="32.6640625" bestFit="1" customWidth="1"/>
    <col min="3" max="5" width="23.6640625" customWidth="1"/>
    <col min="6" max="6" width="14.83203125" customWidth="1"/>
    <col min="7" max="10" width="6.6640625" customWidth="1"/>
    <col min="11" max="12" width="43.5" customWidth="1"/>
    <col min="13" max="13" width="18.83203125" bestFit="1" customWidth="1"/>
    <col min="14" max="14" width="15" bestFit="1" customWidth="1"/>
  </cols>
  <sheetData>
    <row r="1" spans="1:15" x14ac:dyDescent="0.2">
      <c r="A1" s="5"/>
      <c r="B1" s="6" t="s">
        <v>24</v>
      </c>
      <c r="C1" s="7" t="s">
        <v>25</v>
      </c>
      <c r="D1" s="8"/>
      <c r="E1" s="8"/>
      <c r="F1" s="6" t="s">
        <v>21</v>
      </c>
      <c r="G1" s="9"/>
      <c r="H1" s="9"/>
      <c r="I1" s="9"/>
      <c r="J1" s="9"/>
      <c r="K1" s="7" t="s">
        <v>30</v>
      </c>
      <c r="L1" s="7"/>
      <c r="M1" s="10"/>
    </row>
    <row r="2" spans="1:15" s="1" customFormat="1" x14ac:dyDescent="0.2">
      <c r="A2" s="11"/>
      <c r="B2" s="11" t="s">
        <v>14</v>
      </c>
      <c r="C2" s="11" t="s">
        <v>11</v>
      </c>
      <c r="D2" s="11" t="s">
        <v>15</v>
      </c>
      <c r="E2" s="11" t="s">
        <v>16</v>
      </c>
      <c r="F2" s="11" t="s">
        <v>9</v>
      </c>
      <c r="G2" s="11" t="s">
        <v>8</v>
      </c>
      <c r="H2" s="11" t="s">
        <v>20</v>
      </c>
      <c r="I2" s="11" t="s">
        <v>18</v>
      </c>
      <c r="J2" s="11" t="s">
        <v>19</v>
      </c>
      <c r="K2" s="11" t="s">
        <v>12</v>
      </c>
      <c r="L2" s="11" t="s">
        <v>22</v>
      </c>
      <c r="M2" s="11" t="s">
        <v>13</v>
      </c>
      <c r="N2" s="15" t="s">
        <v>32</v>
      </c>
    </row>
    <row r="3" spans="1:15" x14ac:dyDescent="0.2">
      <c r="A3" s="11" t="s">
        <v>17</v>
      </c>
      <c r="B3" s="5">
        <v>110</v>
      </c>
      <c r="C3" s="5">
        <v>165</v>
      </c>
      <c r="D3" s="5">
        <v>2</v>
      </c>
      <c r="E3" s="5">
        <f>C3-D3</f>
        <v>163</v>
      </c>
      <c r="F3" s="5">
        <v>94</v>
      </c>
      <c r="G3" s="5">
        <v>71</v>
      </c>
      <c r="H3" s="5">
        <v>0</v>
      </c>
      <c r="I3" s="5">
        <v>0</v>
      </c>
      <c r="J3" s="5" t="b">
        <f>C3=(F3+G3+H3+I3)</f>
        <v>1</v>
      </c>
      <c r="K3" s="5">
        <v>98</v>
      </c>
      <c r="L3" s="5">
        <v>88</v>
      </c>
      <c r="M3" s="5" t="s">
        <v>34</v>
      </c>
      <c r="N3" s="14">
        <f>K3/E3</f>
        <v>0.60122699386503065</v>
      </c>
    </row>
    <row r="4" spans="1:15" x14ac:dyDescent="0.2">
      <c r="A4" s="11" t="s">
        <v>0</v>
      </c>
      <c r="B4" s="5">
        <v>26</v>
      </c>
      <c r="C4" s="5">
        <v>21</v>
      </c>
      <c r="D4" s="5">
        <v>0</v>
      </c>
      <c r="E4" s="5">
        <f t="shared" ref="E4:E11" si="0">C4-D4</f>
        <v>21</v>
      </c>
      <c r="F4" s="5">
        <v>6</v>
      </c>
      <c r="G4" s="5">
        <v>15</v>
      </c>
      <c r="H4" s="5">
        <v>0</v>
      </c>
      <c r="I4" s="5">
        <v>0</v>
      </c>
      <c r="J4" s="5" t="b">
        <f t="shared" ref="J4:J12" si="1">C4=(F4+G4+H4+I4)</f>
        <v>1</v>
      </c>
      <c r="K4" s="5">
        <v>6</v>
      </c>
      <c r="L4" s="5">
        <v>5</v>
      </c>
      <c r="M4" s="5" t="s">
        <v>26</v>
      </c>
      <c r="N4" s="14">
        <f>K4/E4</f>
        <v>0.2857142857142857</v>
      </c>
    </row>
    <row r="5" spans="1:15" x14ac:dyDescent="0.2">
      <c r="A5" s="11" t="s">
        <v>1</v>
      </c>
      <c r="B5" s="5">
        <v>48</v>
      </c>
      <c r="C5" s="19">
        <v>33</v>
      </c>
      <c r="D5" s="5">
        <v>0</v>
      </c>
      <c r="E5" s="5">
        <f t="shared" si="0"/>
        <v>33</v>
      </c>
      <c r="F5" s="5">
        <v>14</v>
      </c>
      <c r="G5" s="5">
        <v>10</v>
      </c>
      <c r="H5" s="5">
        <v>9</v>
      </c>
      <c r="I5" s="5">
        <v>0</v>
      </c>
      <c r="J5" s="5" t="b">
        <f t="shared" si="1"/>
        <v>1</v>
      </c>
      <c r="K5" s="5">
        <v>16</v>
      </c>
      <c r="L5" s="5">
        <v>16</v>
      </c>
      <c r="M5" s="5" t="s">
        <v>26</v>
      </c>
      <c r="N5" s="14">
        <f t="shared" ref="N5:N11" si="2">K5/E5</f>
        <v>0.48484848484848486</v>
      </c>
    </row>
    <row r="6" spans="1:15" x14ac:dyDescent="0.2">
      <c r="A6" s="12" t="s">
        <v>2</v>
      </c>
      <c r="B6" s="5" t="s">
        <v>10</v>
      </c>
      <c r="C6" s="5">
        <v>104</v>
      </c>
      <c r="D6" s="5">
        <v>3</v>
      </c>
      <c r="E6" s="5">
        <f t="shared" si="0"/>
        <v>101</v>
      </c>
      <c r="F6" s="5">
        <v>40</v>
      </c>
      <c r="G6" s="5">
        <v>64</v>
      </c>
      <c r="H6" s="5">
        <v>0</v>
      </c>
      <c r="I6" s="5">
        <v>0</v>
      </c>
      <c r="J6" s="5" t="b">
        <f t="shared" si="1"/>
        <v>1</v>
      </c>
      <c r="K6" s="5">
        <v>48</v>
      </c>
      <c r="L6" s="5">
        <v>37</v>
      </c>
      <c r="M6" s="5" t="s">
        <v>28</v>
      </c>
      <c r="N6" s="14">
        <f t="shared" si="2"/>
        <v>0.47524752475247523</v>
      </c>
      <c r="O6" s="2"/>
    </row>
    <row r="7" spans="1:15" x14ac:dyDescent="0.2">
      <c r="A7" s="11" t="s">
        <v>3</v>
      </c>
      <c r="B7" s="5">
        <v>13</v>
      </c>
      <c r="C7" s="5">
        <v>20</v>
      </c>
      <c r="D7" s="5">
        <v>0</v>
      </c>
      <c r="E7" s="5">
        <f t="shared" si="0"/>
        <v>20</v>
      </c>
      <c r="F7" s="5">
        <v>9</v>
      </c>
      <c r="G7" s="5">
        <v>11</v>
      </c>
      <c r="H7" s="5">
        <v>0</v>
      </c>
      <c r="I7" s="5">
        <v>0</v>
      </c>
      <c r="J7" s="5" t="b">
        <f t="shared" si="1"/>
        <v>1</v>
      </c>
      <c r="K7" s="5">
        <v>12</v>
      </c>
      <c r="L7" s="5">
        <v>7</v>
      </c>
      <c r="M7" s="5" t="s">
        <v>27</v>
      </c>
      <c r="N7" s="14">
        <f t="shared" si="2"/>
        <v>0.6</v>
      </c>
      <c r="O7" s="3"/>
    </row>
    <row r="8" spans="1:15" x14ac:dyDescent="0.2">
      <c r="A8" s="11" t="s">
        <v>4</v>
      </c>
      <c r="B8" s="5">
        <v>64</v>
      </c>
      <c r="C8" s="5">
        <v>77</v>
      </c>
      <c r="D8" s="5">
        <v>1</v>
      </c>
      <c r="E8" s="5">
        <f t="shared" si="0"/>
        <v>76</v>
      </c>
      <c r="F8" s="5">
        <v>15</v>
      </c>
      <c r="G8" s="5">
        <v>37</v>
      </c>
      <c r="H8" s="5">
        <v>19</v>
      </c>
      <c r="I8" s="5">
        <v>6</v>
      </c>
      <c r="J8" s="5" t="b">
        <f t="shared" si="1"/>
        <v>1</v>
      </c>
      <c r="K8" s="5">
        <v>31</v>
      </c>
      <c r="L8" s="5">
        <v>23</v>
      </c>
      <c r="M8" s="5" t="s">
        <v>26</v>
      </c>
      <c r="N8" s="14">
        <f t="shared" si="2"/>
        <v>0.40789473684210525</v>
      </c>
    </row>
    <row r="9" spans="1:15" x14ac:dyDescent="0.2">
      <c r="A9" s="12" t="s">
        <v>5</v>
      </c>
      <c r="B9" s="5" t="s">
        <v>10</v>
      </c>
      <c r="C9" s="5">
        <v>103</v>
      </c>
      <c r="D9" s="5">
        <v>1</v>
      </c>
      <c r="E9" s="5">
        <f t="shared" si="0"/>
        <v>102</v>
      </c>
      <c r="F9" s="5">
        <v>34</v>
      </c>
      <c r="G9" s="5">
        <v>51</v>
      </c>
      <c r="H9" s="5">
        <v>3</v>
      </c>
      <c r="I9" s="5">
        <v>15</v>
      </c>
      <c r="J9" s="5" t="b">
        <f t="shared" si="1"/>
        <v>1</v>
      </c>
      <c r="K9" s="5">
        <v>33</v>
      </c>
      <c r="L9" s="5">
        <v>30</v>
      </c>
      <c r="M9" s="5" t="s">
        <v>26</v>
      </c>
      <c r="N9" s="14">
        <f t="shared" si="2"/>
        <v>0.3235294117647059</v>
      </c>
    </row>
    <row r="10" spans="1:15" x14ac:dyDescent="0.2">
      <c r="A10" s="12" t="s">
        <v>6</v>
      </c>
      <c r="B10" s="5">
        <v>134</v>
      </c>
      <c r="C10" s="5">
        <v>130</v>
      </c>
      <c r="D10" s="5">
        <v>5</v>
      </c>
      <c r="E10" s="5">
        <f t="shared" si="0"/>
        <v>125</v>
      </c>
      <c r="F10" s="19">
        <v>40</v>
      </c>
      <c r="G10" s="19">
        <v>76</v>
      </c>
      <c r="H10" s="5">
        <v>12</v>
      </c>
      <c r="I10" s="5">
        <v>2</v>
      </c>
      <c r="J10" s="5" t="b">
        <f t="shared" si="1"/>
        <v>1</v>
      </c>
      <c r="K10" s="5">
        <v>37</v>
      </c>
      <c r="L10" s="5">
        <v>28</v>
      </c>
      <c r="M10" s="5" t="s">
        <v>26</v>
      </c>
      <c r="N10" s="14">
        <f t="shared" si="2"/>
        <v>0.29599999999999999</v>
      </c>
    </row>
    <row r="11" spans="1:15" x14ac:dyDescent="0.2">
      <c r="A11" s="11" t="s">
        <v>7</v>
      </c>
      <c r="B11" s="5" t="s">
        <v>10</v>
      </c>
      <c r="C11" s="5">
        <v>21</v>
      </c>
      <c r="D11" s="5">
        <v>0</v>
      </c>
      <c r="E11" s="5">
        <f t="shared" si="0"/>
        <v>21</v>
      </c>
      <c r="F11" s="5">
        <v>5</v>
      </c>
      <c r="G11" s="5">
        <v>9</v>
      </c>
      <c r="H11" s="5">
        <v>4</v>
      </c>
      <c r="I11" s="5">
        <v>3</v>
      </c>
      <c r="J11" s="5" t="b">
        <f t="shared" si="1"/>
        <v>1</v>
      </c>
      <c r="K11" s="5">
        <v>11</v>
      </c>
      <c r="L11" s="5">
        <v>7</v>
      </c>
      <c r="M11" s="5" t="s">
        <v>29</v>
      </c>
      <c r="N11" s="14">
        <f t="shared" si="2"/>
        <v>0.52380952380952384</v>
      </c>
    </row>
    <row r="12" spans="1:15" x14ac:dyDescent="0.2">
      <c r="A12" s="18" t="s">
        <v>33</v>
      </c>
      <c r="B12" s="16" t="s">
        <v>31</v>
      </c>
      <c r="C12" s="16">
        <f>C6+C9+C10</f>
        <v>337</v>
      </c>
      <c r="D12" s="16">
        <f t="shared" ref="D12:L12" si="3">D6+D9+D10</f>
        <v>9</v>
      </c>
      <c r="E12" s="16">
        <f t="shared" si="3"/>
        <v>328</v>
      </c>
      <c r="F12" s="16">
        <f t="shared" si="3"/>
        <v>114</v>
      </c>
      <c r="G12" s="16">
        <f>G6+G9+G10</f>
        <v>191</v>
      </c>
      <c r="H12" s="16">
        <f t="shared" si="3"/>
        <v>15</v>
      </c>
      <c r="I12" s="16">
        <f t="shared" si="3"/>
        <v>17</v>
      </c>
      <c r="J12" s="16" t="b">
        <f t="shared" si="1"/>
        <v>1</v>
      </c>
      <c r="K12" s="16">
        <f t="shared" si="3"/>
        <v>118</v>
      </c>
      <c r="L12" s="16">
        <f t="shared" si="3"/>
        <v>95</v>
      </c>
      <c r="M12" s="16" t="s">
        <v>28</v>
      </c>
      <c r="N12" s="17">
        <f>K12/E12</f>
        <v>0.3597560975609756</v>
      </c>
    </row>
    <row r="14" spans="1:15" x14ac:dyDescent="0.2">
      <c r="B14" s="4" t="s">
        <v>35</v>
      </c>
      <c r="C14" s="4"/>
      <c r="D14" s="4"/>
      <c r="K14" s="13" t="s">
        <v>23</v>
      </c>
      <c r="L14" s="13"/>
      <c r="M14" s="13"/>
    </row>
  </sheetData>
  <conditionalFormatting sqref="L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{3260D956-CB42-F948-907C-B574AB54BA75}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60D956-CB42-F948-907C-B574AB54BA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Högner</dc:creator>
  <cp:lastModifiedBy>Irene Högner</cp:lastModifiedBy>
  <dcterms:created xsi:type="dcterms:W3CDTF">2025-10-20T08:06:23Z</dcterms:created>
  <dcterms:modified xsi:type="dcterms:W3CDTF">2025-11-07T16:43:23Z</dcterms:modified>
</cp:coreProperties>
</file>